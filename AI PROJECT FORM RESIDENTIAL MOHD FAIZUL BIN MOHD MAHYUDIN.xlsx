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 Joo Min\Desktop\Mohd Faizul Bin Mohd Mahyudin\"/>
    </mc:Choice>
  </mc:AlternateContent>
  <xr:revisionPtr revIDLastSave="2" documentId="8_{F8D1CC93-FC17-4AD9-8536-B9E83244237F}" xr6:coauthVersionLast="47" xr6:coauthVersionMax="47" xr10:uidLastSave="{03F2581A-B44F-4DB2-A5DE-E2B791406A42}"/>
  <bookViews>
    <workbookView xWindow="5160" yWindow="804" windowWidth="13272" windowHeight="12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  <c r="D72" i="1"/>
  <c r="C72" i="1" s="1"/>
  <c r="D73" i="1"/>
  <c r="C73" i="1" s="1"/>
  <c r="C56" i="1"/>
  <c r="C57" i="1"/>
  <c r="C80" i="1"/>
  <c r="C78" i="1"/>
  <c r="C77" i="1"/>
  <c r="C76" i="1"/>
  <c r="C70" i="1"/>
  <c r="C71" i="1"/>
  <c r="C42" i="1"/>
  <c r="C41" i="1"/>
  <c r="C40" i="1"/>
  <c r="C39" i="1"/>
  <c r="C38" i="1"/>
  <c r="C37" i="1"/>
  <c r="C75" i="1" l="1"/>
</calcChain>
</file>

<file path=xl/sharedStrings.xml><?xml version="1.0" encoding="utf-8"?>
<sst xmlns="http://schemas.openxmlformats.org/spreadsheetml/2006/main" count="127" uniqueCount="119">
  <si>
    <t>NORTHERN SOLAR SDN BHD</t>
  </si>
  <si>
    <t>NEW PROJECT FORM</t>
  </si>
  <si>
    <t>SECTION 1 : PERSONAL INFORMATION</t>
  </si>
  <si>
    <t>SALUTATION</t>
  </si>
  <si>
    <t>Mr</t>
  </si>
  <si>
    <t>NAME</t>
  </si>
  <si>
    <t>Mohd Faizul Bin Mohd Mahyudin</t>
  </si>
  <si>
    <t>CITIZENSHIP</t>
  </si>
  <si>
    <t>MALAYSIAN</t>
  </si>
  <si>
    <t>IC</t>
  </si>
  <si>
    <t>830703-06-5517</t>
  </si>
  <si>
    <t>EMAIL</t>
  </si>
  <si>
    <t>jonoly1983@gmail.com</t>
  </si>
  <si>
    <t>ADDRESS (PREMIS)</t>
  </si>
  <si>
    <t>Lot 13447, Jalan Slim</t>
  </si>
  <si>
    <t>Kampung Kelawar</t>
  </si>
  <si>
    <t>35900 Tanjong Malim Perak</t>
  </si>
  <si>
    <t>POSTCODE</t>
  </si>
  <si>
    <t>TOWN</t>
  </si>
  <si>
    <t>Tanjong Malim</t>
  </si>
  <si>
    <t>STATE</t>
  </si>
  <si>
    <t>Perak</t>
  </si>
  <si>
    <t>MOBILE NO</t>
  </si>
  <si>
    <t>011-11839235</t>
  </si>
  <si>
    <t>SECTION 2 : NEXT OF KIN INFORMATION</t>
  </si>
  <si>
    <t>ALTERNATE NAME</t>
  </si>
  <si>
    <t>Norlizawati Binti Bakar</t>
  </si>
  <si>
    <t>851212-06-5734</t>
  </si>
  <si>
    <t>RELATION</t>
  </si>
  <si>
    <t>SPOUSE</t>
  </si>
  <si>
    <t>MOBILE NUMBER</t>
  </si>
  <si>
    <t>012-2277507</t>
  </si>
  <si>
    <t>SECTION 3 : TNB DETAILS</t>
  </si>
  <si>
    <t>TNB ACCOUNT NUM</t>
  </si>
  <si>
    <t>210245668501</t>
  </si>
  <si>
    <t>KWAC</t>
  </si>
  <si>
    <t>KWP</t>
  </si>
  <si>
    <t xml:space="preserve">ESTIMATED ANNUAL GENERATION </t>
  </si>
  <si>
    <t>EXPECTED PLANT DETERIORATION</t>
  </si>
  <si>
    <t>PROJECT STATUS</t>
  </si>
  <si>
    <t>NEW</t>
  </si>
  <si>
    <t>PREMISE SERVES</t>
  </si>
  <si>
    <t>HOUSE</t>
  </si>
  <si>
    <t>INSTALLATION TYPE</t>
  </si>
  <si>
    <t>ROOFTOP</t>
  </si>
  <si>
    <t>BATTERY STORAGE</t>
  </si>
  <si>
    <t>YES</t>
  </si>
  <si>
    <t>SITE OWNERSHIP</t>
  </si>
  <si>
    <t>OWNER</t>
  </si>
  <si>
    <t>ADDRESS</t>
  </si>
  <si>
    <t>MODULE BRAND</t>
  </si>
  <si>
    <t xml:space="preserve">ASTRO-N7 </t>
  </si>
  <si>
    <t>MODULE TYPE</t>
  </si>
  <si>
    <t>BIFACIAL</t>
  </si>
  <si>
    <t>MODULE PANEL</t>
  </si>
  <si>
    <t xml:space="preserve">CHSM66RN-630W </t>
  </si>
  <si>
    <t>MODULE POWER (w)</t>
  </si>
  <si>
    <t>MODULE PANEL QUANTITY</t>
  </si>
  <si>
    <t>INVERTER BRAND</t>
  </si>
  <si>
    <t>HOYMILES</t>
  </si>
  <si>
    <t>INVERTER MODEL</t>
  </si>
  <si>
    <t>HIS-5L-G3</t>
  </si>
  <si>
    <t>INVERTER KWAC</t>
  </si>
  <si>
    <t>INVERTER QUANTITY</t>
  </si>
  <si>
    <t>BATTERY BRAND</t>
  </si>
  <si>
    <t>BATTERY  MODEL</t>
  </si>
  <si>
    <t>BATTERY AH</t>
  </si>
  <si>
    <t>BATTERY QUANTITY</t>
  </si>
  <si>
    <t>SECTION 4 : WIREMAN DETAILS</t>
  </si>
  <si>
    <t>WIREMAN NAME</t>
  </si>
  <si>
    <t>MUHAMMAD AFRIZAL AKMAL BIN AZLAN</t>
  </si>
  <si>
    <t>MYKAD</t>
  </si>
  <si>
    <t>041013020125</t>
  </si>
  <si>
    <t xml:space="preserve">COMPANY NAME </t>
  </si>
  <si>
    <t>NORTHERN SOLAR RAKYAT SDN BHD</t>
  </si>
  <si>
    <t>REGISTRATION NO</t>
  </si>
  <si>
    <t>PW12104509</t>
  </si>
  <si>
    <t>PIC MOBILE PHONE</t>
  </si>
  <si>
    <t>017-2951376</t>
  </si>
  <si>
    <t>PIC EMAIL</t>
  </si>
  <si>
    <t>nurul.suhaidah@northernsolar.com.my</t>
  </si>
  <si>
    <t>CERTIFICATE NO</t>
  </si>
  <si>
    <t>PW-T-4-B-0513-2025</t>
  </si>
  <si>
    <t>SECTION 5 : PROJECT COST</t>
  </si>
  <si>
    <t>CAPITAL EXPENDITURE</t>
  </si>
  <si>
    <t xml:space="preserve">TOTAL EQUIPMENT COST </t>
  </si>
  <si>
    <t>PV MODULES</t>
  </si>
  <si>
    <t>INVERTER</t>
  </si>
  <si>
    <t>BALANCE OF SYSTEM</t>
  </si>
  <si>
    <t>BATTERY</t>
  </si>
  <si>
    <t>INSTALLATION COST</t>
  </si>
  <si>
    <t>CONSULTANCY  &amp; DESIGN</t>
  </si>
  <si>
    <t>INTERCONNECTION COST</t>
  </si>
  <si>
    <t>PRELIMINARY COST</t>
  </si>
  <si>
    <t>OPERATION &amp; MAINTENANCE COST</t>
  </si>
  <si>
    <t xml:space="preserve">FINANCIAL MODEL </t>
  </si>
  <si>
    <t>Outright/Direct Purchase</t>
  </si>
  <si>
    <t xml:space="preserve">SECTION 6: OFFICE USE </t>
  </si>
  <si>
    <t>ROOF TYPE</t>
  </si>
  <si>
    <t>TILE</t>
  </si>
  <si>
    <t>BUILDING FLOOR</t>
  </si>
  <si>
    <t xml:space="preserve">TNB METER </t>
  </si>
  <si>
    <t>SINGLE</t>
  </si>
  <si>
    <t>HACKING</t>
  </si>
  <si>
    <t>NO</t>
  </si>
  <si>
    <t>BATTERY CAPACITY (16kWh)</t>
  </si>
  <si>
    <t>ADD ON: BUSBAR COMBINER BOX</t>
  </si>
  <si>
    <t>ADD ON: OPTIMIZER</t>
  </si>
  <si>
    <t>ADD ON: BALLAST</t>
  </si>
  <si>
    <t>ADD ON: RSD</t>
  </si>
  <si>
    <t>ADD ON: BATTERY STAND</t>
  </si>
  <si>
    <t>SECTION 7: MISC</t>
  </si>
  <si>
    <r>
      <rPr>
        <b/>
        <sz val="11"/>
        <color rgb="FF000000"/>
        <rFont val="Calibri"/>
        <scheme val="minor"/>
      </rPr>
      <t>AC/DC ( ADDITIONAL COST FOR LONGER CABLE ) -</t>
    </r>
    <r>
      <rPr>
        <b/>
        <sz val="11"/>
        <color rgb="FFFF0000"/>
        <rFont val="Calibri"/>
        <scheme val="minor"/>
      </rPr>
      <t xml:space="preserve"> MORE THAN 1.5METER</t>
    </r>
  </si>
  <si>
    <t>SKYLIFT / CRANE ( ADD COST )</t>
  </si>
  <si>
    <t>DATE</t>
  </si>
  <si>
    <t>BD NAME</t>
  </si>
  <si>
    <t>Tan Joo Min</t>
  </si>
  <si>
    <t>QUOTATION REF</t>
  </si>
  <si>
    <t>NSJM 39235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</si>
</sst>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9B"/>
        <bgColor indexed="64"/>
      </patternFill>
    </fill>
    <fill>
      <patternFill patternType="solid">
        <fgColor rgb="FFF2F2F2"/>
        <bgColor rgb="FF00000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1" fillId="0" borderId="0" xfId="0" applyFont="1"/>
    <xf numFmtId="0" fontId="1" fillId="2" borderId="4" xfId="0" applyFont="1" applyFill="1" applyBorder="1"/>
    <xf numFmtId="0" fontId="0" fillId="3" borderId="4" xfId="0" applyFill="1" applyBorder="1" applyProtection="1">
      <protection locked="0"/>
    </xf>
    <xf numFmtId="49" fontId="0" fillId="3" borderId="4" xfId="0" applyNumberForma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2" borderId="8" xfId="0" applyFont="1" applyFill="1" applyBorder="1" applyAlignment="1">
      <alignment vertical="top"/>
    </xf>
    <xf numFmtId="49" fontId="0" fillId="3" borderId="4" xfId="0" applyNumberFormat="1" applyFill="1" applyBorder="1" applyAlignment="1">
      <alignment horizontal="left" vertical="top"/>
    </xf>
    <xf numFmtId="9" fontId="0" fillId="0" borderId="0" xfId="0" applyNumberFormat="1"/>
    <xf numFmtId="0" fontId="0" fillId="3" borderId="4" xfId="0" applyFill="1" applyBorder="1" applyAlignment="1" applyProtection="1">
      <alignment horizontal="left"/>
      <protection locked="0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 applyProtection="1">
      <alignment horizontal="left"/>
      <protection locked="0"/>
    </xf>
    <xf numFmtId="0" fontId="0" fillId="3" borderId="4" xfId="0" applyFill="1" applyBorder="1" applyAlignment="1">
      <alignment horizontal="left" vertical="top"/>
    </xf>
    <xf numFmtId="4" fontId="0" fillId="3" borderId="4" xfId="0" applyNumberFormat="1" applyFill="1" applyBorder="1" applyAlignment="1">
      <alignment horizontal="center"/>
    </xf>
    <xf numFmtId="4" fontId="0" fillId="3" borderId="4" xfId="0" applyNumberFormat="1" applyFill="1" applyBorder="1" applyAlignment="1">
      <alignment horizontal="center" vertical="center"/>
    </xf>
    <xf numFmtId="0" fontId="0" fillId="5" borderId="4" xfId="0" applyFill="1" applyBorder="1" applyAlignment="1" applyProtection="1">
      <alignment horizontal="left"/>
      <protection locked="0"/>
    </xf>
    <xf numFmtId="49" fontId="0" fillId="5" borderId="4" xfId="0" applyNumberFormat="1" applyFill="1" applyBorder="1" applyAlignment="1" applyProtection="1">
      <alignment horizontal="left"/>
      <protection locked="0"/>
    </xf>
    <xf numFmtId="2" fontId="0" fillId="5" borderId="4" xfId="0" applyNumberFormat="1" applyFill="1" applyBorder="1" applyAlignment="1" applyProtection="1">
      <alignment horizontal="left"/>
      <protection locked="0"/>
    </xf>
    <xf numFmtId="4" fontId="0" fillId="5" borderId="4" xfId="0" applyNumberFormat="1" applyFill="1" applyBorder="1" applyAlignment="1" applyProtection="1">
      <alignment horizontal="center"/>
      <protection locked="0"/>
    </xf>
    <xf numFmtId="0" fontId="0" fillId="5" borderId="4" xfId="0" applyFill="1" applyBorder="1" applyProtection="1">
      <protection locked="0"/>
    </xf>
    <xf numFmtId="14" fontId="0" fillId="5" borderId="4" xfId="0" applyNumberFormat="1" applyFill="1" applyBorder="1" applyAlignment="1" applyProtection="1">
      <alignment horizontal="left"/>
      <protection locked="0"/>
    </xf>
    <xf numFmtId="0" fontId="1" fillId="2" borderId="4" xfId="0" applyFont="1" applyFill="1" applyBorder="1" applyAlignment="1">
      <alignment wrapText="1"/>
    </xf>
    <xf numFmtId="0" fontId="0" fillId="0" borderId="4" xfId="0" applyBorder="1" applyProtection="1">
      <protection locked="0"/>
    </xf>
    <xf numFmtId="0" fontId="0" fillId="5" borderId="4" xfId="0" applyFill="1" applyBorder="1"/>
    <xf numFmtId="0" fontId="0" fillId="4" borderId="4" xfId="0" applyFill="1" applyBorder="1"/>
    <xf numFmtId="0" fontId="7" fillId="5" borderId="4" xfId="1" applyFill="1" applyBorder="1" applyAlignment="1" applyProtection="1">
      <alignment horizontal="left"/>
      <protection locked="0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8" fillId="6" borderId="4" xfId="0" applyFont="1" applyFill="1" applyBorder="1" applyAlignment="1"/>
    <xf numFmtId="0" fontId="7" fillId="6" borderId="7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rul.suhaidah@northernsolar.com.my" TargetMode="External"/><Relationship Id="rId2" Type="http://schemas.openxmlformats.org/officeDocument/2006/relationships/hyperlink" Target="mailto:jonoly1983@gmail.com" TargetMode="External"/><Relationship Id="rId1" Type="http://schemas.openxmlformats.org/officeDocument/2006/relationships/hyperlink" Target="mailto:jonoly19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2"/>
  <sheetViews>
    <sheetView tabSelected="1" topLeftCell="A56" zoomScale="81" zoomScaleNormal="100" workbookViewId="0">
      <selection activeCell="J58" sqref="J58"/>
    </sheetView>
  </sheetViews>
  <sheetFormatPr defaultRowHeight="14.45"/>
  <cols>
    <col min="2" max="2" width="32.140625" style="5" customWidth="1"/>
    <col min="3" max="3" width="65.85546875" customWidth="1"/>
    <col min="4" max="4" width="8.85546875" customWidth="1"/>
    <col min="8" max="8" width="39.7109375" customWidth="1"/>
    <col min="9" max="9" width="8.85546875" customWidth="1"/>
  </cols>
  <sheetData>
    <row r="1" spans="2:9" ht="15" thickBot="1"/>
    <row r="2" spans="2:9" ht="14.45" customHeight="1">
      <c r="B2" s="33" t="s">
        <v>0</v>
      </c>
      <c r="C2" s="33"/>
      <c r="E2" s="4"/>
      <c r="F2" s="4"/>
      <c r="G2" s="4"/>
      <c r="H2" s="4"/>
      <c r="I2" s="1"/>
    </row>
    <row r="3" spans="2:9">
      <c r="B3" s="33"/>
      <c r="C3" s="33"/>
      <c r="E3" s="4"/>
      <c r="F3" s="4"/>
      <c r="G3" s="4"/>
      <c r="H3" s="4"/>
      <c r="I3" s="2"/>
    </row>
    <row r="4" spans="2:9" ht="18" thickBot="1">
      <c r="B4" s="34" t="s">
        <v>1</v>
      </c>
      <c r="C4" s="34"/>
      <c r="E4" s="4"/>
      <c r="F4" s="4"/>
      <c r="G4" s="4"/>
      <c r="H4" s="4"/>
      <c r="I4" s="3"/>
    </row>
    <row r="5" spans="2:9">
      <c r="B5" s="35" t="s">
        <v>2</v>
      </c>
      <c r="C5" s="35"/>
    </row>
    <row r="6" spans="2:9">
      <c r="B6" s="6" t="s">
        <v>3</v>
      </c>
      <c r="C6" s="20" t="s">
        <v>4</v>
      </c>
    </row>
    <row r="7" spans="2:9">
      <c r="B7" s="6" t="s">
        <v>5</v>
      </c>
      <c r="C7" s="20" t="s">
        <v>6</v>
      </c>
    </row>
    <row r="8" spans="2:9">
      <c r="B8" s="6" t="s">
        <v>7</v>
      </c>
      <c r="C8" s="20" t="s">
        <v>8</v>
      </c>
    </row>
    <row r="9" spans="2:9">
      <c r="B9" s="6" t="s">
        <v>9</v>
      </c>
      <c r="C9" s="21" t="s">
        <v>10</v>
      </c>
    </row>
    <row r="10" spans="2:9">
      <c r="B10" s="6" t="s">
        <v>11</v>
      </c>
      <c r="C10" s="30" t="s">
        <v>12</v>
      </c>
    </row>
    <row r="11" spans="2:9">
      <c r="B11" s="36" t="s">
        <v>13</v>
      </c>
      <c r="C11" s="21" t="s">
        <v>14</v>
      </c>
    </row>
    <row r="12" spans="2:9">
      <c r="B12" s="37"/>
      <c r="C12" s="21" t="s">
        <v>15</v>
      </c>
    </row>
    <row r="13" spans="2:9">
      <c r="B13" s="38"/>
      <c r="C13" s="21" t="s">
        <v>16</v>
      </c>
    </row>
    <row r="14" spans="2:9">
      <c r="B14" s="6" t="s">
        <v>17</v>
      </c>
      <c r="C14" s="20">
        <v>35900</v>
      </c>
    </row>
    <row r="15" spans="2:9">
      <c r="B15" s="6" t="s">
        <v>18</v>
      </c>
      <c r="C15" s="20" t="s">
        <v>19</v>
      </c>
    </row>
    <row r="16" spans="2:9">
      <c r="B16" s="6" t="s">
        <v>20</v>
      </c>
      <c r="C16" s="20" t="s">
        <v>21</v>
      </c>
    </row>
    <row r="17" spans="2:3">
      <c r="B17" s="6" t="s">
        <v>22</v>
      </c>
      <c r="C17" s="20" t="s">
        <v>23</v>
      </c>
    </row>
    <row r="18" spans="2:3">
      <c r="B18" s="31" t="s">
        <v>24</v>
      </c>
      <c r="C18" s="32"/>
    </row>
    <row r="19" spans="2:3">
      <c r="B19" s="6" t="s">
        <v>25</v>
      </c>
      <c r="C19" s="20" t="s">
        <v>26</v>
      </c>
    </row>
    <row r="20" spans="2:3">
      <c r="B20" s="6" t="s">
        <v>9</v>
      </c>
      <c r="C20" s="21" t="s">
        <v>27</v>
      </c>
    </row>
    <row r="21" spans="2:3">
      <c r="B21" s="6" t="s">
        <v>7</v>
      </c>
      <c r="C21" s="20" t="s">
        <v>8</v>
      </c>
    </row>
    <row r="22" spans="2:3">
      <c r="B22" s="6" t="s">
        <v>28</v>
      </c>
      <c r="C22" s="20" t="s">
        <v>29</v>
      </c>
    </row>
    <row r="23" spans="2:3">
      <c r="B23" s="6" t="s">
        <v>11</v>
      </c>
      <c r="C23" s="30" t="s">
        <v>12</v>
      </c>
    </row>
    <row r="24" spans="2:3">
      <c r="B24" s="6" t="s">
        <v>30</v>
      </c>
      <c r="C24" s="20" t="s">
        <v>31</v>
      </c>
    </row>
    <row r="25" spans="2:3">
      <c r="B25" s="31" t="s">
        <v>32</v>
      </c>
      <c r="C25" s="32"/>
    </row>
    <row r="26" spans="2:3">
      <c r="B26" s="6" t="s">
        <v>33</v>
      </c>
      <c r="C26" s="21" t="s">
        <v>34</v>
      </c>
    </row>
    <row r="27" spans="2:3">
      <c r="B27" s="6" t="s">
        <v>35</v>
      </c>
      <c r="C27" s="22">
        <v>5</v>
      </c>
    </row>
    <row r="28" spans="2:3">
      <c r="B28" s="6" t="s">
        <v>36</v>
      </c>
      <c r="C28" s="22">
        <v>8.82</v>
      </c>
    </row>
    <row r="29" spans="2:3">
      <c r="B29" s="6" t="s">
        <v>37</v>
      </c>
      <c r="C29" s="9">
        <f>C28*105*12</f>
        <v>11113.2</v>
      </c>
    </row>
    <row r="30" spans="2:3">
      <c r="B30" s="6" t="s">
        <v>38</v>
      </c>
      <c r="C30" s="9">
        <v>0.1</v>
      </c>
    </row>
    <row r="31" spans="2:3">
      <c r="B31" s="6" t="s">
        <v>39</v>
      </c>
      <c r="C31" s="9" t="s">
        <v>40</v>
      </c>
    </row>
    <row r="32" spans="2:3">
      <c r="B32" s="6" t="s">
        <v>41</v>
      </c>
      <c r="C32" s="20" t="s">
        <v>42</v>
      </c>
    </row>
    <row r="33" spans="2:3">
      <c r="B33" s="6" t="s">
        <v>43</v>
      </c>
      <c r="C33" s="9" t="s">
        <v>44</v>
      </c>
    </row>
    <row r="34" spans="2:3">
      <c r="B34" s="6" t="s">
        <v>45</v>
      </c>
      <c r="C34" s="20" t="s">
        <v>46</v>
      </c>
    </row>
    <row r="35" spans="2:3">
      <c r="B35" s="6"/>
      <c r="C35" s="13"/>
    </row>
    <row r="36" spans="2:3">
      <c r="B36" s="6" t="s">
        <v>47</v>
      </c>
      <c r="C36" s="9" t="s">
        <v>48</v>
      </c>
    </row>
    <row r="37" spans="2:3">
      <c r="B37" s="6" t="s">
        <v>49</v>
      </c>
      <c r="C37" s="8" t="str">
        <f t="shared" ref="C37:C42" si="0">C11</f>
        <v>Lot 13447, Jalan Slim</v>
      </c>
    </row>
    <row r="38" spans="2:3">
      <c r="B38" s="6"/>
      <c r="C38" s="8" t="str">
        <f t="shared" si="0"/>
        <v>Kampung Kelawar</v>
      </c>
    </row>
    <row r="39" spans="2:3">
      <c r="B39" s="6"/>
      <c r="C39" s="8" t="str">
        <f t="shared" si="0"/>
        <v>35900 Tanjong Malim Perak</v>
      </c>
    </row>
    <row r="40" spans="2:3">
      <c r="B40" s="6" t="s">
        <v>17</v>
      </c>
      <c r="C40" s="9">
        <f t="shared" si="0"/>
        <v>35900</v>
      </c>
    </row>
    <row r="41" spans="2:3">
      <c r="B41" s="6" t="s">
        <v>18</v>
      </c>
      <c r="C41" s="9" t="str">
        <f t="shared" si="0"/>
        <v>Tanjong Malim</v>
      </c>
    </row>
    <row r="42" spans="2:3">
      <c r="B42" s="6" t="s">
        <v>20</v>
      </c>
      <c r="C42" s="9" t="str">
        <f t="shared" si="0"/>
        <v>Perak</v>
      </c>
    </row>
    <row r="43" spans="2:3">
      <c r="B43" s="6"/>
      <c r="C43" s="13"/>
    </row>
    <row r="44" spans="2:3">
      <c r="B44" s="6" t="s">
        <v>50</v>
      </c>
      <c r="C44" s="20" t="s">
        <v>51</v>
      </c>
    </row>
    <row r="45" spans="2:3">
      <c r="B45" s="6" t="s">
        <v>52</v>
      </c>
      <c r="C45" s="9" t="s">
        <v>53</v>
      </c>
    </row>
    <row r="46" spans="2:3">
      <c r="B46" s="6" t="s">
        <v>54</v>
      </c>
      <c r="C46" s="20" t="s">
        <v>55</v>
      </c>
    </row>
    <row r="47" spans="2:3">
      <c r="B47" s="6" t="s">
        <v>56</v>
      </c>
      <c r="C47" s="20">
        <v>630</v>
      </c>
    </row>
    <row r="48" spans="2:3">
      <c r="B48" s="6" t="s">
        <v>57</v>
      </c>
      <c r="C48" s="20">
        <v>14</v>
      </c>
    </row>
    <row r="49" spans="2:3">
      <c r="B49" s="6"/>
      <c r="C49" s="13"/>
    </row>
    <row r="50" spans="2:3">
      <c r="B50" s="6" t="s">
        <v>58</v>
      </c>
      <c r="C50" s="9" t="s">
        <v>59</v>
      </c>
    </row>
    <row r="51" spans="2:3" ht="13.9" customHeight="1">
      <c r="B51" s="6" t="s">
        <v>60</v>
      </c>
      <c r="C51" s="20" t="s">
        <v>61</v>
      </c>
    </row>
    <row r="52" spans="2:3" ht="13.9" customHeight="1">
      <c r="B52" s="6" t="s">
        <v>62</v>
      </c>
      <c r="C52" s="16">
        <v>5</v>
      </c>
    </row>
    <row r="53" spans="2:3" ht="13.9" customHeight="1">
      <c r="B53" s="6" t="s">
        <v>63</v>
      </c>
      <c r="C53" s="20">
        <v>1</v>
      </c>
    </row>
    <row r="54" spans="2:3" ht="13.9" customHeight="1">
      <c r="B54" s="6"/>
      <c r="C54" s="13"/>
    </row>
    <row r="55" spans="2:3" ht="13.9" customHeight="1">
      <c r="B55" s="6" t="s">
        <v>64</v>
      </c>
      <c r="C55" s="13"/>
    </row>
    <row r="56" spans="2:3" ht="13.9" customHeight="1">
      <c r="B56" s="6" t="s">
        <v>65</v>
      </c>
      <c r="C56" s="13" t="str">
        <f>IF(C34="YES","LB-16D-G3", "")</f>
        <v>LB-16D-G3</v>
      </c>
    </row>
    <row r="57" spans="2:3" ht="13.9" customHeight="1">
      <c r="B57" s="6" t="s">
        <v>66</v>
      </c>
      <c r="C57" s="13" t="str">
        <f>IF(C34="YES","314", "")</f>
        <v>314</v>
      </c>
    </row>
    <row r="58" spans="2:3">
      <c r="B58" s="6" t="s">
        <v>67</v>
      </c>
      <c r="C58" s="20">
        <v>1</v>
      </c>
    </row>
    <row r="59" spans="2:3">
      <c r="B59" s="31" t="s">
        <v>68</v>
      </c>
      <c r="C59" s="32"/>
    </row>
    <row r="60" spans="2:3">
      <c r="B60" s="10" t="s">
        <v>69</v>
      </c>
      <c r="C60" s="17" t="s">
        <v>70</v>
      </c>
    </row>
    <row r="61" spans="2:3">
      <c r="B61" s="10" t="s">
        <v>71</v>
      </c>
      <c r="C61" s="11" t="s">
        <v>72</v>
      </c>
    </row>
    <row r="62" spans="2:3">
      <c r="B62" s="6" t="s">
        <v>73</v>
      </c>
      <c r="C62" s="13" t="s">
        <v>74</v>
      </c>
    </row>
    <row r="63" spans="2:3">
      <c r="B63" s="6" t="s">
        <v>75</v>
      </c>
      <c r="C63" s="13" t="s">
        <v>76</v>
      </c>
    </row>
    <row r="64" spans="2:3" ht="15">
      <c r="B64" s="6" t="s">
        <v>77</v>
      </c>
      <c r="C64" s="39" t="s">
        <v>78</v>
      </c>
    </row>
    <row r="65" spans="2:4" ht="15">
      <c r="B65" s="6" t="s">
        <v>79</v>
      </c>
      <c r="C65" s="40" t="s">
        <v>80</v>
      </c>
    </row>
    <row r="66" spans="2:4">
      <c r="B66" s="6" t="s">
        <v>81</v>
      </c>
      <c r="C66" s="13" t="s">
        <v>82</v>
      </c>
    </row>
    <row r="67" spans="2:4">
      <c r="B67" s="31" t="s">
        <v>83</v>
      </c>
      <c r="C67" s="32"/>
    </row>
    <row r="68" spans="2:4">
      <c r="B68" s="6" t="s">
        <v>84</v>
      </c>
      <c r="C68" s="23">
        <v>23300</v>
      </c>
    </row>
    <row r="69" spans="2:4">
      <c r="B69" s="6" t="s">
        <v>85</v>
      </c>
      <c r="C69" s="18"/>
    </row>
    <row r="70" spans="2:4">
      <c r="B70" s="6" t="s">
        <v>86</v>
      </c>
      <c r="C70" s="18">
        <f>C68*D70</f>
        <v>8621</v>
      </c>
      <c r="D70" s="12">
        <v>0.37</v>
      </c>
    </row>
    <row r="71" spans="2:4">
      <c r="B71" s="6" t="s">
        <v>87</v>
      </c>
      <c r="C71" s="18">
        <f>C68*D71</f>
        <v>3961.0000000000005</v>
      </c>
      <c r="D71" s="12">
        <v>0.17</v>
      </c>
    </row>
    <row r="72" spans="2:4">
      <c r="B72" s="6" t="s">
        <v>88</v>
      </c>
      <c r="C72" s="18">
        <f>C68*D72</f>
        <v>3495</v>
      </c>
      <c r="D72" s="12">
        <f>IF(C34="YES",15%, 25%)</f>
        <v>0.15</v>
      </c>
    </row>
    <row r="73" spans="2:4">
      <c r="B73" s="6" t="s">
        <v>89</v>
      </c>
      <c r="C73" s="18">
        <f>C68*D73</f>
        <v>2330</v>
      </c>
      <c r="D73" s="12">
        <f>IF(C34="YES",10%, 0%)</f>
        <v>0.1</v>
      </c>
    </row>
    <row r="74" spans="2:4">
      <c r="B74" s="6"/>
      <c r="C74" s="15"/>
      <c r="D74" s="12"/>
    </row>
    <row r="75" spans="2:4">
      <c r="B75" s="6" t="s">
        <v>90</v>
      </c>
      <c r="C75" s="19">
        <f>SUM(C76:C78)</f>
        <v>4427</v>
      </c>
    </row>
    <row r="76" spans="2:4">
      <c r="B76" s="6" t="s">
        <v>91</v>
      </c>
      <c r="C76" s="19">
        <f>C68*D76</f>
        <v>699</v>
      </c>
      <c r="D76" s="12">
        <v>0.03</v>
      </c>
    </row>
    <row r="77" spans="2:4">
      <c r="B77" s="6" t="s">
        <v>92</v>
      </c>
      <c r="C77" s="19">
        <f>C68*D77</f>
        <v>2796</v>
      </c>
      <c r="D77" s="12">
        <v>0.12</v>
      </c>
    </row>
    <row r="78" spans="2:4">
      <c r="B78" s="6" t="s">
        <v>93</v>
      </c>
      <c r="C78" s="19">
        <f>C68*D78</f>
        <v>932</v>
      </c>
      <c r="D78" s="12">
        <v>0.04</v>
      </c>
    </row>
    <row r="79" spans="2:4">
      <c r="B79" s="6"/>
      <c r="C79" s="15"/>
    </row>
    <row r="80" spans="2:4">
      <c r="B80" s="6" t="s">
        <v>94</v>
      </c>
      <c r="C80" s="18">
        <f>C68*D80</f>
        <v>466</v>
      </c>
      <c r="D80" s="12">
        <v>0.02</v>
      </c>
    </row>
    <row r="81" spans="2:3">
      <c r="B81" s="6"/>
      <c r="C81" s="14"/>
    </row>
    <row r="82" spans="2:3">
      <c r="B82" s="6" t="s">
        <v>95</v>
      </c>
      <c r="C82" s="14" t="s">
        <v>96</v>
      </c>
    </row>
    <row r="83" spans="2:3">
      <c r="B83" s="6"/>
      <c r="C83" s="7"/>
    </row>
    <row r="84" spans="2:3">
      <c r="B84" s="31" t="s">
        <v>97</v>
      </c>
      <c r="C84" s="32"/>
    </row>
    <row r="85" spans="2:3">
      <c r="B85" s="6" t="s">
        <v>98</v>
      </c>
      <c r="C85" s="28" t="s">
        <v>99</v>
      </c>
    </row>
    <row r="86" spans="2:3">
      <c r="B86" s="6" t="s">
        <v>100</v>
      </c>
      <c r="C86" s="28">
        <v>1</v>
      </c>
    </row>
    <row r="87" spans="2:3">
      <c r="B87" s="6" t="s">
        <v>101</v>
      </c>
      <c r="C87" s="28" t="s">
        <v>102</v>
      </c>
    </row>
    <row r="88" spans="2:3">
      <c r="B88" s="6" t="s">
        <v>103</v>
      </c>
      <c r="C88" s="28" t="s">
        <v>104</v>
      </c>
    </row>
    <row r="89" spans="2:3">
      <c r="B89" s="6" t="s">
        <v>105</v>
      </c>
      <c r="C89" s="28">
        <v>1</v>
      </c>
    </row>
    <row r="90" spans="2:3">
      <c r="B90" s="6" t="s">
        <v>106</v>
      </c>
      <c r="C90" s="28"/>
    </row>
    <row r="91" spans="2:3">
      <c r="B91" s="6" t="s">
        <v>107</v>
      </c>
      <c r="C91" s="28"/>
    </row>
    <row r="92" spans="2:3">
      <c r="B92" s="6" t="s">
        <v>108</v>
      </c>
      <c r="C92" s="28"/>
    </row>
    <row r="93" spans="2:3">
      <c r="B93" s="6" t="s">
        <v>109</v>
      </c>
      <c r="C93" s="28"/>
    </row>
    <row r="94" spans="2:3">
      <c r="B94" s="6" t="s">
        <v>110</v>
      </c>
      <c r="C94" s="28"/>
    </row>
    <row r="95" spans="2:3">
      <c r="B95" s="6"/>
      <c r="C95" s="29"/>
    </row>
    <row r="96" spans="2:3">
      <c r="B96" s="31" t="s">
        <v>111</v>
      </c>
      <c r="C96" s="32"/>
    </row>
    <row r="97" spans="2:3" ht="43.15">
      <c r="B97" s="26" t="s">
        <v>112</v>
      </c>
      <c r="C97" s="27"/>
    </row>
    <row r="98" spans="2:3">
      <c r="B98" s="26" t="s">
        <v>113</v>
      </c>
      <c r="C98" s="27"/>
    </row>
    <row r="99" spans="2:3">
      <c r="B99" s="6"/>
      <c r="C99" s="27"/>
    </row>
    <row r="100" spans="2:3">
      <c r="B100" s="6" t="s">
        <v>114</v>
      </c>
      <c r="C100" s="25">
        <v>46274</v>
      </c>
    </row>
    <row r="101" spans="2:3">
      <c r="B101" s="6" t="s">
        <v>115</v>
      </c>
      <c r="C101" s="24" t="s">
        <v>116</v>
      </c>
    </row>
    <row r="102" spans="2:3">
      <c r="B102" s="6" t="s">
        <v>117</v>
      </c>
      <c r="C102" s="24" t="s">
        <v>118</v>
      </c>
    </row>
  </sheetData>
  <sheetProtection selectLockedCells="1"/>
  <mergeCells count="10">
    <mergeCell ref="B96:C96"/>
    <mergeCell ref="B2:C3"/>
    <mergeCell ref="B4:C4"/>
    <mergeCell ref="B5:C5"/>
    <mergeCell ref="B11:B13"/>
    <mergeCell ref="B84:C84"/>
    <mergeCell ref="B67:C67"/>
    <mergeCell ref="B59:C59"/>
    <mergeCell ref="B18:C18"/>
    <mergeCell ref="B25:C25"/>
  </mergeCells>
  <dataValidations xWindow="615" yWindow="451" count="14">
    <dataValidation type="list" showInputMessage="1" showErrorMessage="1" promptTitle="Salutation" sqref="C6" xr:uid="{52DD89F8-2C35-4DAA-ACC3-7DD30706E014}">
      <formula1>"Mr, Ms, Dato, Datin, Dato Seri, Datin Seri, Tan Sri, Puan Sri"</formula1>
    </dataValidation>
    <dataValidation type="list" allowBlank="1" showInputMessage="1" showErrorMessage="1" sqref="C8 C21" xr:uid="{31D217C0-7519-4419-B146-7288BE6CCF22}">
      <formula1>"MALAYSIAN, OTHERS"</formula1>
    </dataValidation>
    <dataValidation type="list" allowBlank="1" showInputMessage="1" showErrorMessage="1" sqref="C22" xr:uid="{9AF3EDF7-D5E6-4136-B7CF-C7A130E139C7}">
      <formula1>"SPOUSE, RELATIVE, PARENT"</formula1>
    </dataValidation>
    <dataValidation type="list" allowBlank="1" showInputMessage="1" showErrorMessage="1" sqref="C32" xr:uid="{095E7F41-F66C-4002-A8BE-6E051EB0C13B}">
      <formula1>"HOUSE, SHOPLOT, FACTORY"</formula1>
    </dataValidation>
    <dataValidation type="list" allowBlank="1" showInputMessage="1" showErrorMessage="1" sqref="C34" xr:uid="{EA33214E-4DFD-4570-92D9-56EF1FF11091}">
      <formula1>"YES, NO"</formula1>
    </dataValidation>
    <dataValidation type="list" allowBlank="1" showInputMessage="1" showErrorMessage="1" sqref="C85" xr:uid="{7D75FE8D-7A12-4346-89ED-7B3D14D30E11}">
      <formula1>"TILE,METAL DECK, SINGLE, CONCRETE"</formula1>
    </dataValidation>
    <dataValidation type="list" allowBlank="1" showInputMessage="1" showErrorMessage="1" sqref="C86" xr:uid="{4CCDD612-1D5A-4127-A41F-35F94677C9FC}">
      <formula1>"1,2,3"</formula1>
    </dataValidation>
    <dataValidation type="list" allowBlank="1" showInputMessage="1" showErrorMessage="1" sqref="C87" xr:uid="{C76C439D-EC23-4BC2-8BCD-8A7177FB8A47}">
      <formula1>"SINGLE, THREE"</formula1>
    </dataValidation>
    <dataValidation type="list" allowBlank="1" showInputMessage="1" showErrorMessage="1" sqref="C88 C90" xr:uid="{1BB04514-1214-456E-A023-1ABC11200CBB}">
      <formula1>"YES,NO"</formula1>
    </dataValidation>
    <dataValidation type="list" allowBlank="1" showInputMessage="1" showErrorMessage="1" sqref="C58 C89" xr:uid="{CEFC4F01-C101-4CD4-BF0E-94BDB54658F9}">
      <formula1>"1,2,3,4"</formula1>
    </dataValidation>
    <dataValidation type="list" allowBlank="1" showInputMessage="1" showErrorMessage="1" sqref="C44" xr:uid="{A8EA0DB9-F520-4A25-9D07-1BBB23290695}">
      <formula1>"ASTRO-N7 , JA SOLAR"</formula1>
    </dataValidation>
    <dataValidation type="list" allowBlank="1" showInputMessage="1" showErrorMessage="1" sqref="C46" xr:uid="{EF4D3311-18B7-48BC-A372-80D1E7065B29}">
      <formula1>"CHSM66RN-630W , JAM72D42-635/LB"</formula1>
    </dataValidation>
    <dataValidation type="list" allowBlank="1" showInputMessage="1" showErrorMessage="1" sqref="C47" xr:uid="{30B6568F-294F-4CBD-9ECC-884245FE5E5C}">
      <formula1>"630, 635"</formula1>
    </dataValidation>
    <dataValidation type="list" allowBlank="1" showInputMessage="1" showErrorMessage="1" sqref="C51" xr:uid="{102362C6-E7DB-4B79-86B3-092CC5F10E63}">
      <formula1>"HIT-6L-G3, HIT-8L-G3, HIT-10L-G3, HIT-12L-G3, HIT-15L-G3, HIT-20L-G3, HIS-5L-G3"</formula1>
    </dataValidation>
  </dataValidations>
  <hyperlinks>
    <hyperlink ref="C10" r:id="rId1" xr:uid="{C115D552-A7B8-4DD7-A191-BDF23917EE99}"/>
    <hyperlink ref="C23" r:id="rId2" xr:uid="{22F33E6B-CF8F-4627-A37D-B5E3B8FA2049}"/>
    <hyperlink ref="C65" r:id="rId3" xr:uid="{7FADE222-5D21-4F03-8843-8C1676A3FEA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D2B4293C77E45897C561B3AC5A104" ma:contentTypeVersion="439" ma:contentTypeDescription="Create a new document." ma:contentTypeScope="" ma:versionID="27c81fbd51348e531a28402bcb1aa422">
  <xsd:schema xmlns:xsd="http://www.w3.org/2001/XMLSchema" xmlns:xs="http://www.w3.org/2001/XMLSchema" xmlns:p="http://schemas.microsoft.com/office/2006/metadata/properties" xmlns:ns2="d866a7e9-4c76-4438-8aca-b5e1f2f8fc44" xmlns:ns3="66a3ebc8-cf8a-4071-8bec-ef34f786a750" targetNamespace="http://schemas.microsoft.com/office/2006/metadata/properties" ma:root="true" ma:fieldsID="23146d39328cbc815955fc87fef6b2d5" ns2:_="" ns3:_="">
    <xsd:import namespace="d866a7e9-4c76-4438-8aca-b5e1f2f8fc44"/>
    <xsd:import namespace="66a3ebc8-cf8a-4071-8bec-ef34f786a7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6a7e9-4c76-4438-8aca-b5e1f2f8fc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e29a358-9b77-45f3-a9b6-4d70849a3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3ebc8-cf8a-4071-8bec-ef34f786a75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1fe2048-4fca-494f-89e8-b3ee048e2f4f}" ma:internalName="TaxCatchAll" ma:showField="CatchAllData" ma:web="66a3ebc8-cf8a-4071-8bec-ef34f786a7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d866a7e9-4c76-4438-8aca-b5e1f2f8fc44" xsi:nil="true"/>
    <TaxCatchAll xmlns="66a3ebc8-cf8a-4071-8bec-ef34f786a750" xsi:nil="true"/>
    <lcf76f155ced4ddcb4097134ff3c332f xmlns="d866a7e9-4c76-4438-8aca-b5e1f2f8fc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29EB6-204C-4110-8523-941E10B5F84B}"/>
</file>

<file path=customXml/itemProps2.xml><?xml version="1.0" encoding="utf-8"?>
<ds:datastoreItem xmlns:ds="http://schemas.openxmlformats.org/officeDocument/2006/customXml" ds:itemID="{940847D4-B30E-4317-A66D-3B48FB67DD46}"/>
</file>

<file path=customXml/itemProps3.xml><?xml version="1.0" encoding="utf-8"?>
<ds:datastoreItem xmlns:ds="http://schemas.openxmlformats.org/officeDocument/2006/customXml" ds:itemID="{B06F9480-C549-4B1E-A8AF-D99C93FE5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Joo Min</dc:creator>
  <cp:keywords/>
  <dc:description/>
  <cp:lastModifiedBy>Chang Zhi Keong (Kenneth)</cp:lastModifiedBy>
  <cp:revision/>
  <dcterms:created xsi:type="dcterms:W3CDTF">2026-08-06T02:05:23Z</dcterms:created>
  <dcterms:modified xsi:type="dcterms:W3CDTF">2026-09-14T22:46:03Z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0x010100CB7D2B4293C77E45897C561B3AC5A104</vt:lpwstr>
  </property>
  <property fmtid="{D5CDD505-2E9C-101B-9397-08002B2CF9AE}" pid="3" name="MediaServiceImageTags">
    <vt:lpwstr/>
  </property>
</Properties>
</file>